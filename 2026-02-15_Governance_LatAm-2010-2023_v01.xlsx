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5"/>
    <sheet state="visible" name="pivot_analysis" sheetId="2" r:id="rId6"/>
    <sheet state="visible" name="analysis_summary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<sst xmlns="http://schemas.openxmlformats.org/spreadsheetml/2006/main" count="155" uniqueCount="42">
  <si>
    <t>Country Name</t>
  </si>
  <si>
    <t>Country Code</t>
  </si>
  <si>
    <t>Indicator</t>
  </si>
  <si>
    <t>Indicator Code</t>
  </si>
  <si>
    <t>Change</t>
  </si>
  <si>
    <t>Ecuador</t>
  </si>
  <si>
    <t>ECU</t>
  </si>
  <si>
    <t>Control of Corruption: Estimate</t>
  </si>
  <si>
    <t>CC.EST</t>
  </si>
  <si>
    <t>Voice and Accountability: Estimate</t>
  </si>
  <si>
    <t>VA.EST</t>
  </si>
  <si>
    <t>Rule of Law: Estimate</t>
  </si>
  <si>
    <t>RL.EST</t>
  </si>
  <si>
    <t>Regulatory Quality: Estimate</t>
  </si>
  <si>
    <t>RQ.EST</t>
  </si>
  <si>
    <t>Political Stability and Absence of Violence/Terrorism: Estimate</t>
  </si>
  <si>
    <t>PV.EST</t>
  </si>
  <si>
    <t>Government Effectiveness: Estimate</t>
  </si>
  <si>
    <t>GE.EST</t>
  </si>
  <si>
    <t>Venezuela, RB</t>
  </si>
  <si>
    <t>VEN</t>
  </si>
  <si>
    <t>Uruguay</t>
  </si>
  <si>
    <t>URY</t>
  </si>
  <si>
    <t>Peru</t>
  </si>
  <si>
    <t>PER</t>
  </si>
  <si>
    <t>Chile</t>
  </si>
  <si>
    <t>CHL</t>
  </si>
  <si>
    <t>SUM of Change</t>
  </si>
  <si>
    <t>Grand Total</t>
  </si>
  <si>
    <t>Country</t>
  </si>
  <si>
    <t>Average Change</t>
  </si>
  <si>
    <t>Improved</t>
  </si>
  <si>
    <t>Best Change</t>
  </si>
  <si>
    <t>Worst Change</t>
  </si>
  <si>
    <t>Best Indicator</t>
  </si>
  <si>
    <t>Worst Indicator</t>
  </si>
  <si>
    <t>Status</t>
  </si>
  <si>
    <t>Rank</t>
  </si>
  <si>
    <t xml:space="preserve">Ecuador </t>
  </si>
  <si>
    <t>Venezuela</t>
  </si>
  <si>
    <t xml:space="preserve">Uruguay </t>
  </si>
  <si>
    <t xml:space="preserve">Peru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</si>
</sst>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theme="5"/>
          <bgColor theme="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Governance Change by Country (2010-2023)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analysis_summary!$B$1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analysis_summary!$A$2:$A$6</c:f>
            </c:strRef>
          </c:cat>
          <c:val>
            <c:numRef>
              <c:f>analysis_summary!$B$2:$B$6</c:f>
              <c:numCache/>
            </c:numRef>
          </c:val>
        </c:ser>
        <c:axId val="1227554103"/>
        <c:axId val="1164403697"/>
      </c:barChart>
      <c:catAx>
        <c:axId val="12275541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4403697"/>
      </c:catAx>
      <c:valAx>
        <c:axId val="11644036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Change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75541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838200</xdr:colOff>
      <xdr:row>10</xdr:row>
      <xdr:rowOff>19050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31" sheet="raw_data"/>
  </cacheSource>
  <cacheFields>
    <cacheField name="Country Name" numFmtId="0">
      <sharedItems>
        <s v="Ecuador"/>
        <s v="Venezuela, RB"/>
        <s v="Uruguay"/>
        <s v="Peru"/>
        <s v="Chile"/>
      </sharedItems>
    </cacheField>
    <cacheField name="Country Code" numFmtId="0">
      <sharedItems>
        <s v="ECU"/>
        <s v="VEN"/>
        <s v="URY"/>
        <s v="PER"/>
        <s v="CHL"/>
      </sharedItems>
    </cacheField>
    <cacheField name="Indicator" numFmtId="0">
      <sharedItems>
        <s v="Control of Corruption: Estimate"/>
        <s v="Voice and Accountability: Estimate"/>
        <s v="Rule of Law: Estimate"/>
        <s v="Regulatory Quality: Estimate"/>
        <s v="Political Stability and Absence of Violence/Terrorism: Estimate"/>
        <s v="Government Effectiveness: Estimate"/>
      </sharedItems>
    </cacheField>
    <cacheField name="Indicator Code" numFmtId="0">
      <sharedItems>
        <s v="CC.EST"/>
        <s v="VA.EST"/>
        <s v="RL.EST"/>
        <s v="RQ.EST"/>
        <s v="PV.EST"/>
        <s v="GE.EST"/>
      </sharedItems>
    </cacheField>
    <cacheField name="2010" numFmtId="0">
      <sharedItems containsSemiMixedTypes="0" containsString="0" containsNumber="1">
        <n v="-0.707744359970093"/>
        <n v="-0.231080830097198"/>
        <n v="-1.14322912693024"/>
        <n v="-1.12405169010162"/>
        <n v="-0.586674451828003"/>
        <n v="-0.674511253833771"/>
        <n v="-1.2080090045929"/>
        <n v="-0.870534300804138"/>
        <n v="-1.66915047168732"/>
        <n v="-1.56311976909637"/>
        <n v="-1.25623667240143"/>
        <n v="-1.10220277309418"/>
        <n v="1.29770147800446"/>
        <n v="1.14654517173767"/>
        <n v="0.786790609359741"/>
        <n v="0.599306583404541"/>
        <n v="0.824986040592194"/>
        <n v="0.633332192897797"/>
        <n v="-0.253887414932251"/>
        <n v="0.111124783754349"/>
        <n v="-0.566099524497986"/>
        <n v="0.39282089471817"/>
        <n v="-0.999915421009064"/>
        <n v="-0.239367961883545"/>
        <n v="1.44162690639496"/>
        <n v="1.09564626216888"/>
        <n v="1.22541570663452"/>
        <n v="1.41517114639282"/>
        <n v="0.679604530334473"/>
        <n v="1.15724182128906"/>
      </sharedItems>
    </cacheField>
    <cacheField name="2023" numFmtId="0">
      <sharedItems containsSemiMixedTypes="0" containsString="0" containsNumber="1">
        <n v="-0.647337436676025"/>
        <n v="-0.061911303550005"/>
        <n v="-0.957790791988373"/>
        <n v="-0.718200981616974"/>
        <n v="-0.338139981031418"/>
        <n v="-0.494244992733002"/>
        <n v="-1.69000518321991"/>
        <n v="-1.5313206911087"/>
        <n v="-2.15153360366821"/>
        <n v="-2.02624750137329"/>
        <n v="-1.18902802467346"/>
        <n v="-1.599200963974"/>
        <n v="1.57394731044769"/>
        <n v="1.28379380702972"/>
        <n v="0.717662572860718"/>
        <n v="0.675111055374146"/>
        <n v="0.964887142181396"/>
        <n v="0.850249707698822"/>
        <n v="-0.721040904521942"/>
        <n v="0.060481496155262"/>
        <n v="-0.538132667541504"/>
        <n v="0.292205184698105"/>
        <n v="-0.52178555727005"/>
        <n v="-0.491872787475586"/>
        <n v="0.968603789806366"/>
        <n v="1.01794922351837"/>
        <n v="0.625093758106232"/>
        <n v="0.925731718540192"/>
        <n v="0.13615994155407"/>
        <n v="0.71755576133728"/>
      </sharedItems>
    </cacheField>
    <cacheField name="Change" numFmtId="0">
      <sharedItems containsSemiMixedTypes="0" containsString="0" containsNumber="1">
        <n v="0.06040692329406805"/>
        <n v="0.16916952654719297"/>
        <n v="0.1854383349418669"/>
        <n v="0.405850708484646"/>
        <n v="0.24853447079658503"/>
        <n v="0.180266261100769"/>
        <n v="-0.48199617862700994"/>
        <n v="-0.6607863903045621"/>
        <n v="-0.4823831319808898"/>
        <n v="-0.46312773227692006"/>
        <n v="0.06720864772797008"/>
        <n v="-0.49699819087982"/>
        <n v="0.27624583244323"/>
        <n v="0.1372486352920499"/>
        <n v="-0.069128036499023"/>
        <n v="0.07580447196960494"/>
        <n v="0.139901101589202"/>
        <n v="0.21691751480102506"/>
        <n v="-0.46715348958969105"/>
        <n v="-0.050643287599087004"/>
        <n v="0.027966856956481934"/>
        <n v="-0.10061571002006497"/>
        <n v="0.478129863739014"/>
        <n v="-0.252504825592041"/>
        <n v="-0.4730231165885941"/>
        <n v="-0.07769703865051003"/>
        <n v="-0.6003219485282879"/>
        <n v="-0.48943942785262806"/>
        <n v="-0.543444588780403"/>
        <n v="-0.43968605995178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analysis" cacheId="0" dataCaption="" compact="0" compactData="0">
  <location ref="A1:H8" firstHeaderRow="0" firstDataRow="1" firstDataCol="1"/>
  <pivotFields>
    <pivotField name="Country Name" axis="axisRow" compact="0" outline="0" multipleItemSelectionAllowed="1" showAll="0" sortType="ascending">
      <items>
        <item x="4"/>
        <item x="0"/>
        <item x="3"/>
        <item x="2"/>
        <item x="1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Indicator" axis="axisCol" compact="0" outline="0" multipleItemSelectionAllowed="1" showAll="0" sortType="ascending">
      <items>
        <item x="0"/>
        <item x="5"/>
        <item x="4"/>
        <item x="3"/>
        <item x="2"/>
        <item x="1"/>
        <item t="default"/>
      </items>
    </pivotField>
    <pivotField name="Indicator Cod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2010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202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Chang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</pivotFields>
  <rowFields>
    <field x="0"/>
  </rowFields>
  <colFields>
    <field x="2"/>
  </colFields>
  <dataFields>
    <dataField name="SUM of Change" fld="6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>
        <v>2010.0</v>
      </c>
      <c r="F1" s="1">
        <v>2023.0</v>
      </c>
      <c r="G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>
        <v>-0.707744359970093</v>
      </c>
      <c r="F2" s="2">
        <v>-0.647337436676025</v>
      </c>
      <c r="G2" s="3">
        <f t="shared" ref="G2:G31" si="1">F2-E2</f>
        <v>0.06040692329</v>
      </c>
    </row>
    <row r="3">
      <c r="A3" s="2" t="s">
        <v>5</v>
      </c>
      <c r="B3" s="2" t="s">
        <v>6</v>
      </c>
      <c r="C3" s="2" t="s">
        <v>9</v>
      </c>
      <c r="D3" s="2" t="s">
        <v>10</v>
      </c>
      <c r="E3" s="2">
        <v>-0.231080830097198</v>
      </c>
      <c r="F3" s="2">
        <v>-0.061911303550005</v>
      </c>
      <c r="G3" s="3">
        <f t="shared" si="1"/>
        <v>0.1691695265</v>
      </c>
    </row>
    <row r="4">
      <c r="A4" s="2" t="s">
        <v>5</v>
      </c>
      <c r="B4" s="2" t="s">
        <v>6</v>
      </c>
      <c r="C4" s="2" t="s">
        <v>11</v>
      </c>
      <c r="D4" s="2" t="s">
        <v>12</v>
      </c>
      <c r="E4" s="2">
        <v>-1.14322912693024</v>
      </c>
      <c r="F4" s="2">
        <v>-0.957790791988373</v>
      </c>
      <c r="G4" s="3">
        <f t="shared" si="1"/>
        <v>0.1854383349</v>
      </c>
    </row>
    <row r="5">
      <c r="A5" s="2" t="s">
        <v>5</v>
      </c>
      <c r="B5" s="2" t="s">
        <v>6</v>
      </c>
      <c r="C5" s="2" t="s">
        <v>13</v>
      </c>
      <c r="D5" s="2" t="s">
        <v>14</v>
      </c>
      <c r="E5" s="2">
        <v>-1.12405169010162</v>
      </c>
      <c r="F5" s="2">
        <v>-0.718200981616974</v>
      </c>
      <c r="G5" s="3">
        <f t="shared" si="1"/>
        <v>0.4058507085</v>
      </c>
    </row>
    <row r="6">
      <c r="A6" s="2" t="s">
        <v>5</v>
      </c>
      <c r="B6" s="2" t="s">
        <v>6</v>
      </c>
      <c r="C6" s="2" t="s">
        <v>15</v>
      </c>
      <c r="D6" s="2" t="s">
        <v>16</v>
      </c>
      <c r="E6" s="2">
        <v>-0.586674451828003</v>
      </c>
      <c r="F6" s="2">
        <v>-0.338139981031418</v>
      </c>
      <c r="G6" s="3">
        <f t="shared" si="1"/>
        <v>0.2485344708</v>
      </c>
    </row>
    <row r="7">
      <c r="A7" s="2" t="s">
        <v>5</v>
      </c>
      <c r="B7" s="2" t="s">
        <v>6</v>
      </c>
      <c r="C7" s="2" t="s">
        <v>17</v>
      </c>
      <c r="D7" s="2" t="s">
        <v>18</v>
      </c>
      <c r="E7" s="2">
        <v>-0.674511253833771</v>
      </c>
      <c r="F7" s="2">
        <v>-0.494244992733002</v>
      </c>
      <c r="G7" s="3">
        <f t="shared" si="1"/>
        <v>0.1802662611</v>
      </c>
    </row>
    <row r="8">
      <c r="A8" s="2" t="s">
        <v>19</v>
      </c>
      <c r="B8" s="2" t="s">
        <v>20</v>
      </c>
      <c r="C8" s="2" t="s">
        <v>7</v>
      </c>
      <c r="D8" s="2" t="s">
        <v>8</v>
      </c>
      <c r="E8" s="2">
        <v>-1.2080090045929</v>
      </c>
      <c r="F8" s="2">
        <v>-1.69000518321991</v>
      </c>
      <c r="G8" s="3">
        <f t="shared" si="1"/>
        <v>-0.4819961786</v>
      </c>
    </row>
    <row r="9">
      <c r="A9" s="2" t="s">
        <v>19</v>
      </c>
      <c r="B9" s="2" t="s">
        <v>20</v>
      </c>
      <c r="C9" s="2" t="s">
        <v>9</v>
      </c>
      <c r="D9" s="2" t="s">
        <v>10</v>
      </c>
      <c r="E9" s="2">
        <v>-0.870534300804138</v>
      </c>
      <c r="F9" s="2">
        <v>-1.5313206911087</v>
      </c>
      <c r="G9" s="3">
        <f t="shared" si="1"/>
        <v>-0.6607863903</v>
      </c>
    </row>
    <row r="10">
      <c r="A10" s="2" t="s">
        <v>19</v>
      </c>
      <c r="B10" s="2" t="s">
        <v>20</v>
      </c>
      <c r="C10" s="2" t="s">
        <v>11</v>
      </c>
      <c r="D10" s="2" t="s">
        <v>12</v>
      </c>
      <c r="E10" s="2">
        <v>-1.66915047168732</v>
      </c>
      <c r="F10" s="2">
        <v>-2.15153360366821</v>
      </c>
      <c r="G10" s="3">
        <f t="shared" si="1"/>
        <v>-0.482383132</v>
      </c>
    </row>
    <row r="11">
      <c r="A11" s="2" t="s">
        <v>19</v>
      </c>
      <c r="B11" s="2" t="s">
        <v>20</v>
      </c>
      <c r="C11" s="2" t="s">
        <v>13</v>
      </c>
      <c r="D11" s="2" t="s">
        <v>14</v>
      </c>
      <c r="E11" s="2">
        <v>-1.56311976909637</v>
      </c>
      <c r="F11" s="2">
        <v>-2.02624750137329</v>
      </c>
      <c r="G11" s="3">
        <f t="shared" si="1"/>
        <v>-0.4631277323</v>
      </c>
    </row>
    <row r="12">
      <c r="A12" s="2" t="s">
        <v>19</v>
      </c>
      <c r="B12" s="2" t="s">
        <v>20</v>
      </c>
      <c r="C12" s="2" t="s">
        <v>15</v>
      </c>
      <c r="D12" s="2" t="s">
        <v>16</v>
      </c>
      <c r="E12" s="2">
        <v>-1.25623667240143</v>
      </c>
      <c r="F12" s="2">
        <v>-1.18902802467346</v>
      </c>
      <c r="G12" s="3">
        <f t="shared" si="1"/>
        <v>0.06720864773</v>
      </c>
    </row>
    <row r="13">
      <c r="A13" s="2" t="s">
        <v>19</v>
      </c>
      <c r="B13" s="2" t="s">
        <v>20</v>
      </c>
      <c r="C13" s="2" t="s">
        <v>17</v>
      </c>
      <c r="D13" s="2" t="s">
        <v>18</v>
      </c>
      <c r="E13" s="2">
        <v>-1.10220277309418</v>
      </c>
      <c r="F13" s="2">
        <v>-1.599200963974</v>
      </c>
      <c r="G13" s="3">
        <f t="shared" si="1"/>
        <v>-0.4969981909</v>
      </c>
    </row>
    <row r="14">
      <c r="A14" s="2" t="s">
        <v>21</v>
      </c>
      <c r="B14" s="2" t="s">
        <v>22</v>
      </c>
      <c r="C14" s="2" t="s">
        <v>7</v>
      </c>
      <c r="D14" s="2" t="s">
        <v>8</v>
      </c>
      <c r="E14" s="2">
        <v>1.29770147800446</v>
      </c>
      <c r="F14" s="2">
        <v>1.57394731044769</v>
      </c>
      <c r="G14" s="3">
        <f t="shared" si="1"/>
        <v>0.2762458324</v>
      </c>
    </row>
    <row r="15">
      <c r="A15" s="2" t="s">
        <v>21</v>
      </c>
      <c r="B15" s="2" t="s">
        <v>22</v>
      </c>
      <c r="C15" s="2" t="s">
        <v>9</v>
      </c>
      <c r="D15" s="2" t="s">
        <v>10</v>
      </c>
      <c r="E15" s="2">
        <v>1.14654517173767</v>
      </c>
      <c r="F15" s="2">
        <v>1.28379380702972</v>
      </c>
      <c r="G15" s="3">
        <f t="shared" si="1"/>
        <v>0.1372486353</v>
      </c>
    </row>
    <row r="16">
      <c r="A16" s="2" t="s">
        <v>21</v>
      </c>
      <c r="B16" s="2" t="s">
        <v>22</v>
      </c>
      <c r="C16" s="2" t="s">
        <v>11</v>
      </c>
      <c r="D16" s="2" t="s">
        <v>12</v>
      </c>
      <c r="E16" s="2">
        <v>0.786790609359741</v>
      </c>
      <c r="F16" s="2">
        <v>0.717662572860718</v>
      </c>
      <c r="G16" s="3">
        <f t="shared" si="1"/>
        <v>-0.0691280365</v>
      </c>
    </row>
    <row r="17">
      <c r="A17" s="2" t="s">
        <v>21</v>
      </c>
      <c r="B17" s="2" t="s">
        <v>22</v>
      </c>
      <c r="C17" s="2" t="s">
        <v>13</v>
      </c>
      <c r="D17" s="2" t="s">
        <v>14</v>
      </c>
      <c r="E17" s="2">
        <v>0.599306583404541</v>
      </c>
      <c r="F17" s="2">
        <v>0.675111055374146</v>
      </c>
      <c r="G17" s="3">
        <f t="shared" si="1"/>
        <v>0.07580447197</v>
      </c>
    </row>
    <row r="18">
      <c r="A18" s="2" t="s">
        <v>21</v>
      </c>
      <c r="B18" s="2" t="s">
        <v>22</v>
      </c>
      <c r="C18" s="2" t="s">
        <v>15</v>
      </c>
      <c r="D18" s="2" t="s">
        <v>16</v>
      </c>
      <c r="E18" s="2">
        <v>0.824986040592194</v>
      </c>
      <c r="F18" s="2">
        <v>0.964887142181396</v>
      </c>
      <c r="G18" s="3">
        <f t="shared" si="1"/>
        <v>0.1399011016</v>
      </c>
    </row>
    <row r="19">
      <c r="A19" s="2" t="s">
        <v>21</v>
      </c>
      <c r="B19" s="2" t="s">
        <v>22</v>
      </c>
      <c r="C19" s="2" t="s">
        <v>17</v>
      </c>
      <c r="D19" s="2" t="s">
        <v>18</v>
      </c>
      <c r="E19" s="2">
        <v>0.633332192897797</v>
      </c>
      <c r="F19" s="2">
        <v>0.850249707698822</v>
      </c>
      <c r="G19" s="3">
        <f t="shared" si="1"/>
        <v>0.2169175148</v>
      </c>
    </row>
    <row r="20">
      <c r="A20" s="2" t="s">
        <v>23</v>
      </c>
      <c r="B20" s="2" t="s">
        <v>24</v>
      </c>
      <c r="C20" s="2" t="s">
        <v>7</v>
      </c>
      <c r="D20" s="2" t="s">
        <v>8</v>
      </c>
      <c r="E20" s="2">
        <v>-0.253887414932251</v>
      </c>
      <c r="F20" s="2">
        <v>-0.721040904521942</v>
      </c>
      <c r="G20" s="3">
        <f t="shared" si="1"/>
        <v>-0.4671534896</v>
      </c>
    </row>
    <row r="21">
      <c r="A21" s="2" t="s">
        <v>23</v>
      </c>
      <c r="B21" s="2" t="s">
        <v>24</v>
      </c>
      <c r="C21" s="2" t="s">
        <v>9</v>
      </c>
      <c r="D21" s="2" t="s">
        <v>10</v>
      </c>
      <c r="E21" s="2">
        <v>0.111124783754349</v>
      </c>
      <c r="F21" s="2">
        <v>0.060481496155262</v>
      </c>
      <c r="G21" s="3">
        <f t="shared" si="1"/>
        <v>-0.0506432876</v>
      </c>
    </row>
    <row r="22">
      <c r="A22" s="2" t="s">
        <v>23</v>
      </c>
      <c r="B22" s="2" t="s">
        <v>24</v>
      </c>
      <c r="C22" s="2" t="s">
        <v>11</v>
      </c>
      <c r="D22" s="2" t="s">
        <v>12</v>
      </c>
      <c r="E22" s="2">
        <v>-0.566099524497986</v>
      </c>
      <c r="F22" s="2">
        <v>-0.538132667541504</v>
      </c>
      <c r="G22" s="3">
        <f t="shared" si="1"/>
        <v>0.02796685696</v>
      </c>
    </row>
    <row r="23">
      <c r="A23" s="2" t="s">
        <v>23</v>
      </c>
      <c r="B23" s="2" t="s">
        <v>24</v>
      </c>
      <c r="C23" s="2" t="s">
        <v>13</v>
      </c>
      <c r="D23" s="2" t="s">
        <v>14</v>
      </c>
      <c r="E23" s="2">
        <v>0.39282089471817</v>
      </c>
      <c r="F23" s="2">
        <v>0.292205184698105</v>
      </c>
      <c r="G23" s="3">
        <f t="shared" si="1"/>
        <v>-0.10061571</v>
      </c>
    </row>
    <row r="24">
      <c r="A24" s="2" t="s">
        <v>23</v>
      </c>
      <c r="B24" s="2" t="s">
        <v>24</v>
      </c>
      <c r="C24" s="2" t="s">
        <v>15</v>
      </c>
      <c r="D24" s="2" t="s">
        <v>16</v>
      </c>
      <c r="E24" s="2">
        <v>-0.999915421009064</v>
      </c>
      <c r="F24" s="2">
        <v>-0.52178555727005</v>
      </c>
      <c r="G24" s="3">
        <f t="shared" si="1"/>
        <v>0.4781298637</v>
      </c>
    </row>
    <row r="25">
      <c r="A25" s="2" t="s">
        <v>23</v>
      </c>
      <c r="B25" s="2" t="s">
        <v>24</v>
      </c>
      <c r="C25" s="2" t="s">
        <v>17</v>
      </c>
      <c r="D25" s="2" t="s">
        <v>18</v>
      </c>
      <c r="E25" s="2">
        <v>-0.239367961883545</v>
      </c>
      <c r="F25" s="2">
        <v>-0.491872787475586</v>
      </c>
      <c r="G25" s="3">
        <f t="shared" si="1"/>
        <v>-0.2525048256</v>
      </c>
    </row>
    <row r="26">
      <c r="A26" s="2" t="s">
        <v>25</v>
      </c>
      <c r="B26" s="2" t="s">
        <v>26</v>
      </c>
      <c r="C26" s="2" t="s">
        <v>7</v>
      </c>
      <c r="D26" s="2" t="s">
        <v>8</v>
      </c>
      <c r="E26" s="2">
        <v>1.44162690639496</v>
      </c>
      <c r="F26" s="2">
        <v>0.968603789806366</v>
      </c>
      <c r="G26" s="3">
        <f t="shared" si="1"/>
        <v>-0.4730231166</v>
      </c>
    </row>
    <row r="27">
      <c r="A27" s="2" t="s">
        <v>25</v>
      </c>
      <c r="B27" s="2" t="s">
        <v>26</v>
      </c>
      <c r="C27" s="2" t="s">
        <v>9</v>
      </c>
      <c r="D27" s="2" t="s">
        <v>10</v>
      </c>
      <c r="E27" s="2">
        <v>1.09564626216888</v>
      </c>
      <c r="F27" s="2">
        <v>1.01794922351837</v>
      </c>
      <c r="G27" s="3">
        <f t="shared" si="1"/>
        <v>-0.07769703865</v>
      </c>
    </row>
    <row r="28">
      <c r="A28" s="2" t="s">
        <v>25</v>
      </c>
      <c r="B28" s="2" t="s">
        <v>26</v>
      </c>
      <c r="C28" s="2" t="s">
        <v>11</v>
      </c>
      <c r="D28" s="2" t="s">
        <v>12</v>
      </c>
      <c r="E28" s="2">
        <v>1.22541570663452</v>
      </c>
      <c r="F28" s="2">
        <v>0.625093758106232</v>
      </c>
      <c r="G28" s="3">
        <f t="shared" si="1"/>
        <v>-0.6003219485</v>
      </c>
    </row>
    <row r="29">
      <c r="A29" s="2" t="s">
        <v>25</v>
      </c>
      <c r="B29" s="2" t="s">
        <v>26</v>
      </c>
      <c r="C29" s="2" t="s">
        <v>13</v>
      </c>
      <c r="D29" s="2" t="s">
        <v>14</v>
      </c>
      <c r="E29" s="2">
        <v>1.41517114639282</v>
      </c>
      <c r="F29" s="2">
        <v>0.925731718540192</v>
      </c>
      <c r="G29" s="3">
        <f t="shared" si="1"/>
        <v>-0.4894394279</v>
      </c>
    </row>
    <row r="30">
      <c r="A30" s="2" t="s">
        <v>25</v>
      </c>
      <c r="B30" s="2" t="s">
        <v>26</v>
      </c>
      <c r="C30" s="2" t="s">
        <v>15</v>
      </c>
      <c r="D30" s="2" t="s">
        <v>16</v>
      </c>
      <c r="E30" s="2">
        <v>0.679604530334473</v>
      </c>
      <c r="F30" s="2">
        <v>0.13615994155407</v>
      </c>
      <c r="G30" s="3">
        <f t="shared" si="1"/>
        <v>-0.5434445888</v>
      </c>
    </row>
    <row r="31">
      <c r="A31" s="2" t="s">
        <v>25</v>
      </c>
      <c r="B31" s="2" t="s">
        <v>26</v>
      </c>
      <c r="C31" s="2" t="s">
        <v>17</v>
      </c>
      <c r="D31" s="2" t="s">
        <v>18</v>
      </c>
      <c r="E31" s="2">
        <v>1.15724182128906</v>
      </c>
      <c r="F31" s="2">
        <v>0.71755576133728</v>
      </c>
      <c r="G31" s="3">
        <f t="shared" si="1"/>
        <v>-0.43968606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4.38"/>
  </cols>
  <sheetData>
    <row r="1"/>
    <row r="2"/>
    <row r="3"/>
    <row r="4"/>
    <row r="5"/>
    <row r="6"/>
    <row r="7"/>
    <row r="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16.88"/>
    <col customWidth="1" min="6" max="6" width="48.38"/>
    <col customWidth="1" min="7" max="7" width="27.5"/>
  </cols>
  <sheetData>
    <row r="1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</row>
    <row r="2">
      <c r="A2" s="2" t="s">
        <v>38</v>
      </c>
      <c r="B2" s="3">
        <f>ROUND(AVERAGEIF(raw_data!B:B,"ECU",raw_data!G:G),2)</f>
        <v>0.21</v>
      </c>
      <c r="C2" s="3">
        <f>COUNTIF(raw_data!G2:G7, "&gt;0")</f>
        <v>6</v>
      </c>
      <c r="D2" s="3">
        <f>ROUND(MAXIFS(raw_data!G:G, raw_data!B:B, "ECU"),2)</f>
        <v>0.41</v>
      </c>
      <c r="E2" s="3">
        <f>ROUND(MINIFS(raw_data!G:G, raw_data!B:B, "ECU"),2)</f>
        <v>0.06</v>
      </c>
      <c r="F2" s="3" t="str">
        <f t="array" ref="F2">INDEX(raw_data!C:C,MATCH(MAXIFS(raw_data!G:G,raw_data!B:B,"ECU"),raw_data!G:G,0))</f>
        <v>Regulatory Quality: Estimate</v>
      </c>
      <c r="G2" s="3" t="str">
        <f t="array" ref="G2">INDEX(raw_data!C:C,MATCH(MINIFS(raw_data!G:G,raw_data!B:B,"ECU"),raw_data!G:G,0))</f>
        <v>Control of Corruption: Estimate</v>
      </c>
      <c r="H2" s="3" t="str">
        <f t="shared" ref="H2:H6" si="1">IF(B2&gt;0,"Improved","Declined")
</f>
        <v>Improved</v>
      </c>
      <c r="I2" s="3">
        <f t="shared" ref="I2:I6" si="2">RANK(B2,$B$2:$B$6,0)</f>
        <v>1</v>
      </c>
    </row>
    <row r="3">
      <c r="A3" s="2" t="s">
        <v>39</v>
      </c>
      <c r="B3" s="3">
        <f>ROUND(AVERAGEIF(raw_data!B:B,"VEN",raw_data!G:G),2)</f>
        <v>-0.42</v>
      </c>
      <c r="C3" s="3">
        <f>COUNTIF(raw_data!G8:G13, "&gt;0")</f>
        <v>1</v>
      </c>
      <c r="D3" s="3">
        <f>ROUND(MAXIFS(raw_data!G:G, raw_data!B:B, "VEN"),2)</f>
        <v>0.07</v>
      </c>
      <c r="E3" s="3">
        <f>ROUND(MINIFS(raw_data!G:G, raw_data!B:B, "VEN"),2)</f>
        <v>-0.66</v>
      </c>
      <c r="F3" s="3" t="str">
        <f t="array" ref="F3">INDEX(raw_data!C:C,MATCH(MAXIFS(raw_data!G:G,raw_data!B:B,"VEN"),raw_data!G:G,0))</f>
        <v>Political Stability and Absence of Violence/Terrorism: Estimate</v>
      </c>
      <c r="G3" s="3" t="str">
        <f t="array" ref="G3">INDEX(raw_data!C:C,MATCH(MINIFS(raw_data!G:G,raw_data!B:B,"VEN"),raw_data!G:G,0))</f>
        <v>Voice and Accountability: Estimate</v>
      </c>
      <c r="H3" s="3" t="str">
        <f t="shared" si="1"/>
        <v>Declined</v>
      </c>
      <c r="I3" s="3">
        <f t="shared" si="2"/>
        <v>4</v>
      </c>
    </row>
    <row r="4">
      <c r="A4" s="2" t="s">
        <v>40</v>
      </c>
      <c r="B4" s="3">
        <f>ROUND(AVERAGEIF(raw_data!B:B,"URY",raw_data!G:G),2)</f>
        <v>0.13</v>
      </c>
      <c r="C4" s="3">
        <f>COUNTIF(raw_data!G14:G19, "&gt;0")</f>
        <v>5</v>
      </c>
      <c r="D4" s="3">
        <f>ROUND(MAXIFS(raw_data!G:G, raw_data!B:B, "URY"),2)</f>
        <v>0.28</v>
      </c>
      <c r="E4" s="3">
        <f>ROUND(MINIFS(raw_data!G:G, raw_data!B:B, "URY"),2)</f>
        <v>-0.07</v>
      </c>
      <c r="F4" s="3" t="str">
        <f t="array" ref="F4">INDEX(raw_data!C:C,MATCH(MAXIFS(raw_data!G:G,raw_data!B:B,"URY"),raw_data!G:G,0))</f>
        <v>Control of Corruption: Estimate</v>
      </c>
      <c r="G4" s="3" t="str">
        <f t="array" ref="G4">INDEX(raw_data!C:C,MATCH(MINIFS(raw_data!G:G,raw_data!B:B,"URY"),raw_data!G:G,0))</f>
        <v>Rule of Law: Estimate</v>
      </c>
      <c r="H4" s="3" t="str">
        <f t="shared" si="1"/>
        <v>Improved</v>
      </c>
      <c r="I4" s="3">
        <f t="shared" si="2"/>
        <v>2</v>
      </c>
    </row>
    <row r="5">
      <c r="A5" s="2" t="s">
        <v>41</v>
      </c>
      <c r="B5" s="3">
        <f>ROUND(AVERAGEIF(raw_data!B:B,"PER",raw_data!G:G),2)</f>
        <v>-0.06</v>
      </c>
      <c r="C5" s="3">
        <f>COUNTIF(raw_data!G20:G25, "&gt;0")</f>
        <v>2</v>
      </c>
      <c r="D5" s="3">
        <f>ROUND(MAXIFS(raw_data!G:G, raw_data!B:B, "PER"),2)</f>
        <v>0.48</v>
      </c>
      <c r="E5" s="3">
        <f>ROUND(MINIFS(raw_data!G:G, raw_data!B:B, "Per"),2)</f>
        <v>-0.47</v>
      </c>
      <c r="F5" s="3" t="str">
        <f t="array" ref="F5">INDEX(raw_data!C:C,MATCH(MAXIFS(raw_data!G:G,raw_data!B:B,"PER"),raw_data!G:G,0))</f>
        <v>Political Stability and Absence of Violence/Terrorism: Estimate</v>
      </c>
      <c r="G5" s="3" t="str">
        <f t="array" ref="G5">INDEX(raw_data!C:C,MATCH(MINIFS(raw_data!G:G,raw_data!B:B,"PER"),raw_data!G:G,0))</f>
        <v>Control of Corruption: Estimate</v>
      </c>
      <c r="H5" s="3" t="str">
        <f t="shared" si="1"/>
        <v>Declined</v>
      </c>
      <c r="I5" s="3">
        <f t="shared" si="2"/>
        <v>3</v>
      </c>
    </row>
    <row r="6">
      <c r="A6" s="2" t="s">
        <v>25</v>
      </c>
      <c r="B6" s="3">
        <f>ROUND(AVERAGEIF(raw_data!B:B,"CHL",raw_data!G:G),2)</f>
        <v>-0.44</v>
      </c>
      <c r="C6" s="3">
        <f>COUNTIF(raw_data!G26:G31, "&gt;0")</f>
        <v>0</v>
      </c>
      <c r="D6" s="3">
        <f>ROUND(MAXIFS(raw_data!G:G, raw_data!B:B, "CHL"),2)</f>
        <v>-0.08</v>
      </c>
      <c r="E6" s="3">
        <f>ROUND(MINIFS(raw_data!G:G, raw_data!B:B, "CHL"),2)</f>
        <v>-0.6</v>
      </c>
      <c r="F6" s="3" t="str">
        <f t="array" ref="F6">INDEX(raw_data!C:C,MATCH(MAXIFS(raw_data!G:G,raw_data!B:B,"CHL"),raw_data!G:G,0))</f>
        <v>Voice and Accountability: Estimate</v>
      </c>
      <c r="G6" s="3" t="str">
        <f t="array" ref="G6">INDEX(raw_data!C:C,MATCH(MINIFS(raw_data!G:G,raw_data!B:B,"CHL"),raw_data!G:G,0))</f>
        <v>Rule of Law: Estimate</v>
      </c>
      <c r="H6" s="3" t="str">
        <f t="shared" si="1"/>
        <v>Declined</v>
      </c>
      <c r="I6" s="3">
        <f t="shared" si="2"/>
        <v>5</v>
      </c>
    </row>
  </sheetData>
  <conditionalFormatting sqref="H2:H6">
    <cfRule type="cellIs" dxfId="0" priority="1" operator="equal">
      <formula>"Improved"</formula>
    </cfRule>
  </conditionalFormatting>
  <conditionalFormatting sqref="H2:H6">
    <cfRule type="cellIs" dxfId="1" priority="2" operator="equal">
      <formula>"DECLINED"</formula>
    </cfRule>
  </conditionalFormatting>
  <drawing r:id="rId1"/>
</worksheet>
</file>